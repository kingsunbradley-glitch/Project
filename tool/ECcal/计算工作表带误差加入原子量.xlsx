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39FBFE52-D6F9-47B2-BB3F-5EC12676CB56}" xr6:coauthVersionLast="47" xr6:coauthVersionMax="47" xr10:uidLastSave="{00000000-0000-0000-0000-000000000000}"/>
  <bookViews>
    <workbookView minimized="1" xWindow="368" yWindow="368" windowWidth="17549" windowHeight="1088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1" i="1" l="1"/>
  <c r="L40" i="1"/>
  <c r="M40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" i="1"/>
  <c r="Q3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" i="1"/>
  <c r="P3" i="1"/>
  <c r="O4" i="1"/>
  <c r="O3" i="1"/>
  <c r="L3" i="1"/>
  <c r="M3" i="1"/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N38" i="1"/>
  <c r="N39" i="1"/>
  <c r="L38" i="1"/>
  <c r="L39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N3" i="1" l="1"/>
</calcChain>
</file>

<file path=xl/sharedStrings.xml><?xml version="1.0" encoding="utf-8"?>
<sst xmlns="http://schemas.openxmlformats.org/spreadsheetml/2006/main" count="112" uniqueCount="95">
  <si>
    <t>SS003</t>
    <phoneticPr fontId="1" type="noConversion"/>
  </si>
  <si>
    <t>175Lu (40Ar,3n) 212Ac</t>
    <phoneticPr fontId="1" type="noConversion"/>
  </si>
  <si>
    <t>175Lu (40Ar,4-5n) 210,211Ac</t>
    <phoneticPr fontId="1" type="noConversion"/>
  </si>
  <si>
    <t>v/v0*Z^1/3</t>
    <phoneticPr fontId="1" type="noConversion"/>
  </si>
  <si>
    <t>束流能量(Mev)</t>
    <phoneticPr fontId="1" type="noConversion"/>
  </si>
  <si>
    <t>反冲核在D1中心能量(MeV)</t>
    <phoneticPr fontId="1" type="noConversion"/>
  </si>
  <si>
    <t>Brho0(past) (Tm)</t>
    <phoneticPr fontId="1" type="noConversion"/>
  </si>
  <si>
    <t>Brho0(new) (Tm)</t>
    <phoneticPr fontId="1" type="noConversion"/>
  </si>
  <si>
    <t>x (mm)</t>
    <phoneticPr fontId="1" type="noConversion"/>
  </si>
  <si>
    <t>利用有效半径修正的最佳磁刚度</t>
    <phoneticPr fontId="1" type="noConversion"/>
  </si>
  <si>
    <t>E D1 (MeV)</t>
    <phoneticPr fontId="1" type="noConversion"/>
  </si>
  <si>
    <t>Ei (MeV)</t>
    <phoneticPr fontId="1" type="noConversion"/>
  </si>
  <si>
    <t>气压 (Pa)</t>
    <phoneticPr fontId="1" type="noConversion"/>
  </si>
  <si>
    <t>P (Pa)</t>
    <phoneticPr fontId="1" type="noConversion"/>
  </si>
  <si>
    <t>SS004</t>
    <phoneticPr fontId="1" type="noConversion"/>
  </si>
  <si>
    <t xml:space="preserve">底衬及靶材厚度 </t>
    <phoneticPr fontId="1" type="noConversion"/>
  </si>
  <si>
    <t>0.06 mg/cm2 碳膜 + 0.45 mg/cm2 175Lu</t>
    <phoneticPr fontId="1" type="noConversion"/>
  </si>
  <si>
    <t>0.06 mg/cm2 碳膜 + 0.45 mg/cm2 176Lu</t>
  </si>
  <si>
    <t>169Tm (40Ar,5n) 204Fr</t>
    <phoneticPr fontId="1" type="noConversion"/>
  </si>
  <si>
    <t>169Tm (40Ar,4n) 205Fr</t>
    <phoneticPr fontId="1" type="noConversion"/>
  </si>
  <si>
    <t>169Tm (40Ar,3n) 206Fr</t>
    <phoneticPr fontId="1" type="noConversion"/>
  </si>
  <si>
    <t>60μg/cm2 碳膜+450μg/cm2 169Tm</t>
    <phoneticPr fontId="1" type="noConversion"/>
  </si>
  <si>
    <t>60μg/cm2 碳膜+450μg/cm2 170Tm</t>
  </si>
  <si>
    <t>60μg/cm2 碳膜+450μg/cm2 171Tm</t>
  </si>
  <si>
    <t>SS008</t>
    <phoneticPr fontId="1" type="noConversion"/>
  </si>
  <si>
    <t>159Tb (54Cr,1n) 212Ac</t>
    <phoneticPr fontId="1" type="noConversion"/>
  </si>
  <si>
    <t>159Tb (54Cr,2-3n) 210,211Ac</t>
    <phoneticPr fontId="1" type="noConversion"/>
  </si>
  <si>
    <t>159Tb (54Cr,4-5n) 208,209Ac</t>
    <phoneticPr fontId="1" type="noConversion"/>
  </si>
  <si>
    <t>159Tb (54Cr,5n) 208mAc</t>
    <phoneticPr fontId="1" type="noConversion"/>
  </si>
  <si>
    <t>60ug/cm2 碳膜+400 ug/cm2 159Tb</t>
    <phoneticPr fontId="1" type="noConversion"/>
  </si>
  <si>
    <t>60ug/cm2 碳膜+400 ug/cm2 160Tb</t>
  </si>
  <si>
    <t>60ug/cm2 碳膜+400 ug/cm2 161Tb</t>
  </si>
  <si>
    <t>60ug/cm2 碳膜+400 ug/cm2 162Tb</t>
  </si>
  <si>
    <t>60ug/cm2 碳膜+400 ug/cm2 163Tb</t>
  </si>
  <si>
    <t>60ug/cm2 碳膜+400 ug/cm2 164Tb</t>
  </si>
  <si>
    <t>60ug/cm2 碳膜+400 ug/cm2 165Tb</t>
  </si>
  <si>
    <t>60ug/cm2 碳膜+400 ug/cm2 166Tb</t>
  </si>
  <si>
    <t>60ug/cm2 碳膜+400 ug/cm2 167Tb</t>
  </si>
  <si>
    <t>60ug/cm2 碳膜+400 ug/cm2 168Tb</t>
  </si>
  <si>
    <t>60ug/cm2 碳膜+400 ug/cm2 169Tb</t>
  </si>
  <si>
    <t>60ug/cm2 碳膜+400 ug/cm2 170Tb</t>
  </si>
  <si>
    <t>60ug/cm2 碳膜+400 ug/cm2 171Tb</t>
  </si>
  <si>
    <t>60ug/cm2 碳膜+400 ug/cm2 172Tb</t>
  </si>
  <si>
    <t>60ug/cm2 碳膜+400 ug/cm2 173Tb</t>
  </si>
  <si>
    <t>60ug/cm2 碳膜+400 ug/cm2 174Tb</t>
  </si>
  <si>
    <t>60ug/cm2 碳膜+400 ug/cm2 175Tb</t>
  </si>
  <si>
    <t>165Ho (54Cr,3n) 216Pa</t>
    <phoneticPr fontId="1" type="noConversion"/>
  </si>
  <si>
    <t>165Ho (54Cr,4n) 215Pa</t>
    <phoneticPr fontId="1" type="noConversion"/>
  </si>
  <si>
    <t>60ug/cm2 碳膜+ 350ug/cm2 165Ho</t>
    <phoneticPr fontId="1" type="noConversion"/>
  </si>
  <si>
    <t>60ug/cm2 碳膜+ 350ug/cm2 166Ho</t>
  </si>
  <si>
    <t>60ug/cm2 碳膜+ 350ug/cm2 167Ho</t>
  </si>
  <si>
    <t>60ug/cm2 碳膜+ 350ug/cm2 168Ho</t>
  </si>
  <si>
    <t>60ug/cm2 碳膜+ 350ug/cm2 169Ho</t>
  </si>
  <si>
    <t>60ug/cm2 碳膜+ 350ug/cm2 170Ho</t>
  </si>
  <si>
    <t>SS009</t>
    <phoneticPr fontId="1" type="noConversion"/>
  </si>
  <si>
    <t>165Ho (54Cr,5n) 214Pa</t>
    <phoneticPr fontId="1" type="noConversion"/>
  </si>
  <si>
    <t>209Bi (54Cr,1n) 262Bh</t>
    <phoneticPr fontId="1" type="noConversion"/>
  </si>
  <si>
    <t>60ug/cm2 碳膜+ 500ug/cm2 209Bi</t>
    <phoneticPr fontId="1" type="noConversion"/>
  </si>
  <si>
    <t>SS010</t>
    <phoneticPr fontId="1" type="noConversion"/>
  </si>
  <si>
    <t>197Au (40Ar,3n) 234Bk</t>
    <phoneticPr fontId="1" type="noConversion"/>
  </si>
  <si>
    <t xml:space="preserve">60ug/cm2 碳膜+ 500ug/cm2 197Au </t>
    <phoneticPr fontId="1" type="noConversion"/>
  </si>
  <si>
    <t>SS011</t>
    <phoneticPr fontId="1" type="noConversion"/>
  </si>
  <si>
    <t>209Bi (40Ar,2n) 247Md</t>
    <phoneticPr fontId="1" type="noConversion"/>
  </si>
  <si>
    <t>SS012</t>
    <phoneticPr fontId="1" type="noConversion"/>
  </si>
  <si>
    <t>208Pb(48Ca,2n) 254No</t>
    <phoneticPr fontId="1" type="noConversion"/>
  </si>
  <si>
    <t xml:space="preserve">60ug/cm2 碳膜+ 450ug/cm2 208Pb </t>
    <phoneticPr fontId="1" type="noConversion"/>
  </si>
  <si>
    <t>197Au (48Ca,2n) 243Es</t>
    <phoneticPr fontId="1" type="noConversion"/>
  </si>
  <si>
    <t xml:space="preserve">60ug/cm2 碳膜+ 500ug/cm2 197Au  </t>
    <phoneticPr fontId="1" type="noConversion"/>
  </si>
  <si>
    <t>SS014</t>
    <phoneticPr fontId="1" type="noConversion"/>
  </si>
  <si>
    <t>2 um Ti膜+ 565ug/cm2 243Am</t>
    <phoneticPr fontId="1" type="noConversion"/>
  </si>
  <si>
    <t>159Tb (40Ar,4n) 195Bi</t>
    <phoneticPr fontId="1" type="noConversion"/>
  </si>
  <si>
    <t>60ug/cm2 碳膜+ 400ug/cm2 159Tb</t>
    <phoneticPr fontId="1" type="noConversion"/>
  </si>
  <si>
    <t>实验时加载的磁刚度默认误差0.005</t>
    <phoneticPr fontId="1" type="noConversion"/>
  </si>
  <si>
    <t>修正后的平衡电荷态 (e)</t>
    <phoneticPr fontId="1" type="noConversion"/>
  </si>
  <si>
    <t>Q (e)</t>
    <phoneticPr fontId="1" type="noConversion"/>
  </si>
  <si>
    <t>243Am (48Ca,3n) 288Mc</t>
    <phoneticPr fontId="1" type="noConversion"/>
  </si>
  <si>
    <t>反冲能误差</t>
    <phoneticPr fontId="1" type="noConversion"/>
  </si>
  <si>
    <t>修正磁刚度误差</t>
    <phoneticPr fontId="1" type="noConversion"/>
  </si>
  <si>
    <t>利用有效半径修正的实验加载的真实磁刚度</t>
    <phoneticPr fontId="1" type="noConversion"/>
  </si>
  <si>
    <t>最佳磁刚度误差</t>
    <phoneticPr fontId="1" type="noConversion"/>
  </si>
  <si>
    <t>反冲核在探测器上水平分布的中心值</t>
    <phoneticPr fontId="1" type="noConversion"/>
  </si>
  <si>
    <t>水平分布中心值的误差</t>
    <phoneticPr fontId="1" type="noConversion"/>
  </si>
  <si>
    <t>平衡电荷态误差</t>
    <phoneticPr fontId="1" type="noConversion"/>
  </si>
  <si>
    <t>Z</t>
    <phoneticPr fontId="1" type="noConversion"/>
  </si>
  <si>
    <t>质子数</t>
    <phoneticPr fontId="1" type="noConversion"/>
  </si>
  <si>
    <t>Brho(cor) (Tm)</t>
    <phoneticPr fontId="1" type="noConversion"/>
  </si>
  <si>
    <t>SS023</t>
    <phoneticPr fontId="1" type="noConversion"/>
  </si>
  <si>
    <t>SS024</t>
    <phoneticPr fontId="1" type="noConversion"/>
  </si>
  <si>
    <t>208Pb(54Cr,3n) 262Sg</t>
    <phoneticPr fontId="1" type="noConversion"/>
  </si>
  <si>
    <t xml:space="preserve">60ug/cm2 碳膜+ 450ug/cm2 208Pb  </t>
    <phoneticPr fontId="1" type="noConversion"/>
  </si>
  <si>
    <t>238U(48Ca,3n)268Cn</t>
    <phoneticPr fontId="1" type="noConversion"/>
  </si>
  <si>
    <t>1.9 um Ti膜+ 500ug/cm2 238U</t>
    <phoneticPr fontId="1" type="noConversion"/>
  </si>
  <si>
    <t>反应道</t>
    <phoneticPr fontId="1" type="noConversion"/>
  </si>
  <si>
    <t>A</t>
    <phoneticPr fontId="1" type="noConversion"/>
  </si>
  <si>
    <t>原子量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</si>
</sst>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0.0_);[Red]\(0.0\)"/>
    <numFmt numFmtId="178" formatCode="0.000_ "/>
    <numFmt numFmtId="179" formatCode="0.00_ "/>
    <numFmt numFmtId="180" formatCode="0.0000_);[Red]\(0.0000\)"/>
    <numFmt numFmtId="181" formatCode="0.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wrapText="1"/>
    </xf>
    <xf numFmtId="177" fontId="0" fillId="0" borderId="0" xfId="0" applyNumberFormat="1" applyAlignment="1">
      <alignment horizontal="center" vertical="top" wrapText="1"/>
    </xf>
    <xf numFmtId="177" fontId="0" fillId="0" borderId="0" xfId="0" applyNumberFormat="1" applyAlignment="1">
      <alignment horizontal="center" vertical="top"/>
    </xf>
    <xf numFmtId="176" fontId="0" fillId="0" borderId="0" xfId="0" applyNumberFormat="1" applyAlignment="1">
      <alignment horizontal="center" vertical="top"/>
    </xf>
    <xf numFmtId="178" fontId="0" fillId="0" borderId="0" xfId="0" applyNumberFormat="1" applyAlignment="1">
      <alignment horizontal="center" vertical="top"/>
    </xf>
    <xf numFmtId="179" fontId="0" fillId="0" borderId="0" xfId="0" applyNumberFormat="1" applyAlignment="1">
      <alignment horizontal="center" vertical="top" wrapText="1"/>
    </xf>
    <xf numFmtId="176" fontId="0" fillId="0" borderId="0" xfId="0" applyNumberFormat="1" applyAlignment="1">
      <alignment horizontal="center" vertical="top" wrapText="1"/>
    </xf>
    <xf numFmtId="178" fontId="0" fillId="0" borderId="0" xfId="0" applyNumberForma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80" fontId="0" fillId="0" borderId="0" xfId="0" applyNumberFormat="1" applyAlignment="1">
      <alignment horizontal="center" vertical="top" wrapText="1"/>
    </xf>
    <xf numFmtId="181" fontId="0" fillId="0" borderId="0" xfId="0" applyNumberFormat="1" applyAlignment="1">
      <alignment horizontal="center" vertical="top" wrapText="1"/>
    </xf>
    <xf numFmtId="0" fontId="2" fillId="2" borderId="1" xfId="1" applyAlignment="1">
      <alignment horizontal="left" vertical="top" wrapText="1"/>
    </xf>
  </cellXfs>
  <cellStyles count="2">
    <cellStyle name="常规" xfId="0" builtinId="0"/>
    <cellStyle name="检查单元格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9"/>
  <sheetViews>
    <sheetView tabSelected="1" topLeftCell="H25" zoomScaleNormal="100" workbookViewId="0">
      <selection activeCell="K41" sqref="K41"/>
    </sheetView>
  </sheetViews>
  <sheetFormatPr defaultColWidth="8.86328125" defaultRowHeight="13.9" x14ac:dyDescent="0.4"/>
  <cols>
    <col min="1" max="1" width="8.86328125" style="1"/>
    <col min="2" max="2" width="25.86328125" style="1" customWidth="1"/>
    <col min="3" max="3" width="25.796875" style="1" customWidth="1"/>
    <col min="4" max="4" width="16.53125" style="1" customWidth="1"/>
    <col min="5" max="5" width="13.86328125" style="1" customWidth="1"/>
    <col min="6" max="6" width="18.6640625" style="1" customWidth="1"/>
    <col min="7" max="7" width="15.1328125" style="1" customWidth="1"/>
    <col min="8" max="8" width="17.46484375" style="1" customWidth="1"/>
    <col min="9" max="9" width="19" style="1" customWidth="1"/>
    <col min="10" max="10" width="15.33203125" style="1" customWidth="1"/>
    <col min="11" max="11" width="20.1328125" style="1" customWidth="1"/>
    <col min="12" max="12" width="17.46484375" style="1" customWidth="1"/>
    <col min="13" max="13" width="16.796875" style="1" customWidth="1"/>
    <col min="14" max="14" width="17" style="1" customWidth="1"/>
    <col min="15" max="15" width="13.6640625" style="1" customWidth="1"/>
    <col min="16" max="16" width="13.1328125" style="1" customWidth="1"/>
    <col min="17" max="17" width="12.19921875" style="1" customWidth="1"/>
    <col min="18" max="16384" width="8.86328125" style="1"/>
  </cols>
  <sheetData>
    <row r="1" spans="1:19" x14ac:dyDescent="0.4">
      <c r="C1" s="3"/>
      <c r="D1" s="3" t="s">
        <v>13</v>
      </c>
      <c r="E1" s="3" t="s">
        <v>11</v>
      </c>
      <c r="F1" s="3" t="s">
        <v>10</v>
      </c>
      <c r="H1" s="3" t="s">
        <v>3</v>
      </c>
      <c r="I1" s="3" t="s">
        <v>8</v>
      </c>
      <c r="K1" s="3" t="s">
        <v>6</v>
      </c>
      <c r="L1" s="3" t="s">
        <v>7</v>
      </c>
      <c r="N1" s="2" t="s">
        <v>85</v>
      </c>
      <c r="P1" s="2" t="s">
        <v>74</v>
      </c>
      <c r="R1" s="2" t="s">
        <v>83</v>
      </c>
      <c r="S1" s="2" t="s">
        <v>93</v>
      </c>
    </row>
    <row r="2" spans="1:19" ht="41.65" x14ac:dyDescent="0.4">
      <c r="B2" s="3" t="s">
        <v>92</v>
      </c>
      <c r="C2" s="3" t="s">
        <v>15</v>
      </c>
      <c r="D2" s="3" t="s">
        <v>12</v>
      </c>
      <c r="E2" s="2" t="s">
        <v>4</v>
      </c>
      <c r="F2" s="2" t="s">
        <v>5</v>
      </c>
      <c r="G2" s="2" t="s">
        <v>76</v>
      </c>
      <c r="H2" s="2"/>
      <c r="I2" s="2" t="s">
        <v>80</v>
      </c>
      <c r="J2" s="2" t="s">
        <v>81</v>
      </c>
      <c r="K2" s="2" t="s">
        <v>72</v>
      </c>
      <c r="L2" s="2" t="s">
        <v>78</v>
      </c>
      <c r="M2" s="2" t="s">
        <v>77</v>
      </c>
      <c r="N2" s="2" t="s">
        <v>9</v>
      </c>
      <c r="O2" s="2" t="s">
        <v>79</v>
      </c>
      <c r="P2" s="2" t="s">
        <v>73</v>
      </c>
      <c r="Q2" s="2" t="s">
        <v>82</v>
      </c>
      <c r="R2" s="3" t="s">
        <v>84</v>
      </c>
      <c r="S2" s="3" t="s">
        <v>94</v>
      </c>
    </row>
    <row r="3" spans="1:19" ht="27.75" x14ac:dyDescent="0.4">
      <c r="A3" s="3" t="s">
        <v>0</v>
      </c>
      <c r="B3" s="3" t="s">
        <v>2</v>
      </c>
      <c r="C3" s="3" t="s">
        <v>16</v>
      </c>
      <c r="D3" s="2">
        <v>100</v>
      </c>
      <c r="E3" s="5">
        <v>192.7</v>
      </c>
      <c r="F3" s="9">
        <v>32.4</v>
      </c>
      <c r="G3" s="9">
        <v>0.56000000000000005</v>
      </c>
      <c r="H3" s="9">
        <v>11.11</v>
      </c>
      <c r="I3" s="7">
        <v>45.8</v>
      </c>
      <c r="J3" s="10">
        <v>0.8</v>
      </c>
      <c r="K3" s="8">
        <v>1.65</v>
      </c>
      <c r="L3" s="11">
        <f>K3/1.6*(-0.20793*EXP(K3/1.6/0.26629)+1640)/1000</f>
        <v>1.6809424617840014</v>
      </c>
      <c r="M3" s="14">
        <f>SQRT((0.005)^2*(((-2.0793*EXP(K3/0.26629/1.6)+1640)/1600)+((K3/1.6)*(-2.0793*EXP(K3/0.26629/1.6)/0.26629/1600)))^2)</f>
        <v>3.6030271295948188E-3</v>
      </c>
      <c r="N3" s="11">
        <f>L3*(1+(I3-64)/100/20.65)</f>
        <v>1.6661273756801425</v>
      </c>
      <c r="O3" s="13">
        <f>SQRT((M3^2)*((1+ABS(I3-64)/2065)^2)+(J3^2)*((L3/2065)^2)+(0.5)^2*((L3*ABS(64-I3)/(2065*20.65))^2))</f>
        <v>3.7100406610704674E-3</v>
      </c>
      <c r="P3" s="9">
        <f>SQRT(931.5*S3*2*F3)*10^6/3/10^8/N3</f>
        <v>7.122937357719592</v>
      </c>
      <c r="Q3" s="9">
        <f>SQRT((G3^2)*((1/300/2/N3)*SQRT(931.5*2*S3/F3))^2+(O3^2)*(SQRT(931.5*2*S3*F3)/300/(N3^2))^2)</f>
        <v>6.356683064931011E-2</v>
      </c>
      <c r="R3" s="2">
        <v>89</v>
      </c>
      <c r="S3" s="2">
        <v>210</v>
      </c>
    </row>
    <row r="4" spans="1:19" ht="27.75" x14ac:dyDescent="0.4">
      <c r="A4" s="3"/>
      <c r="B4" s="3" t="s">
        <v>1</v>
      </c>
      <c r="C4" s="3" t="s">
        <v>17</v>
      </c>
      <c r="D4" s="2">
        <v>100</v>
      </c>
      <c r="E4" s="5">
        <v>192.7</v>
      </c>
      <c r="F4" s="9">
        <v>32.42</v>
      </c>
      <c r="G4" s="9">
        <v>0.6</v>
      </c>
      <c r="H4" s="9">
        <v>11.08</v>
      </c>
      <c r="I4" s="7">
        <v>61.8</v>
      </c>
      <c r="J4" s="10">
        <v>2.8</v>
      </c>
      <c r="K4" s="8">
        <v>1.65</v>
      </c>
      <c r="L4" s="11">
        <f t="shared" ref="L4:L41" si="0">K4/1.6*(-0.20793*EXP(K4/1.6/0.26629)+1640)/1000</f>
        <v>1.6809424617840014</v>
      </c>
      <c r="M4" s="14">
        <f t="shared" ref="M4:M40" si="1">SQRT((0.005)^2*(((-2.0793*EXP(K4/0.26629/1.6)+1640)/1600)+((K4/1.6)*(-2.0793*EXP(K4/0.26629/1.6)/0.26629/1600)))^2)</f>
        <v>3.6030271295948188E-3</v>
      </c>
      <c r="N4" s="11">
        <f t="shared" ref="N4:N39" si="2">L4*(1+(I4-64)/100/20.65)</f>
        <v>1.6791516272000184</v>
      </c>
      <c r="O4" s="13">
        <f>SQRT((M4^2)*((1+ABS(I4-64)/2065)^2)+(J4^2)*((L4/2065)^2)+(0.5)^2*((L4*ABS(64-I4)/(2065*20.65))^2))</f>
        <v>4.2668857182772101E-3</v>
      </c>
      <c r="P4" s="9">
        <f>SQRT(931.5*S4*2*F4)*10^6/3/10^8/N4</f>
        <v>7.1034559850459358</v>
      </c>
      <c r="Q4" s="9">
        <f>SQRT((G4^2)*((1/300/2/N4)*SQRT(931.5*2*S4/F4))^2+(O4^2)*(SQRT(931.5*2*S4*F4)/300/(N4^2))^2)</f>
        <v>6.8165536912602395E-2</v>
      </c>
      <c r="R4" s="2">
        <v>89</v>
      </c>
      <c r="S4" s="2">
        <v>212</v>
      </c>
    </row>
    <row r="5" spans="1:19" ht="27.75" x14ac:dyDescent="0.4">
      <c r="A5" s="3" t="s">
        <v>14</v>
      </c>
      <c r="B5" s="3" t="s">
        <v>18</v>
      </c>
      <c r="C5" s="1" t="s">
        <v>21</v>
      </c>
      <c r="D5" s="2">
        <v>100</v>
      </c>
      <c r="E5" s="6">
        <v>178.5</v>
      </c>
      <c r="F5" s="9">
        <v>30.56</v>
      </c>
      <c r="G5" s="9">
        <v>0.56000000000000005</v>
      </c>
      <c r="H5" s="9">
        <v>10.89</v>
      </c>
      <c r="I5" s="7">
        <v>45</v>
      </c>
      <c r="J5" s="10">
        <v>5.9</v>
      </c>
      <c r="K5" s="8">
        <v>1.6020000000000001</v>
      </c>
      <c r="L5" s="11">
        <f t="shared" si="0"/>
        <v>1.6331085843845736</v>
      </c>
      <c r="M5" s="14">
        <f t="shared" si="1"/>
        <v>3.796625315282924E-3</v>
      </c>
      <c r="N5" s="11">
        <f t="shared" si="2"/>
        <v>1.6180824037050061</v>
      </c>
      <c r="O5" s="13">
        <f t="shared" ref="O5:O39" si="3">SQRT((M5^2)*((1+ABS(I5-64)/2065)^2)+(J5^2)*((L5/2065)^2)+(0.5)^2*((L5*ABS(64-I5)/(2065*20.65))^2))</f>
        <v>6.048553006424243E-3</v>
      </c>
      <c r="P5" s="9">
        <f t="shared" ref="P5:P39" si="4">SQRT(931.5*S5*2*F5)*10^6/3/10^8/N5</f>
        <v>7.0206334079223511</v>
      </c>
      <c r="Q5" s="9">
        <f t="shared" ref="Q5:Q39" si="5">SQRT((G5^2)*((1/300/2/N5)*SQRT(931.5*2*S5/F5))^2+(O5^2)*(SQRT(931.5*2*S5*F5)/300/(N5^2))^2)</f>
        <v>6.9472775791569505E-2</v>
      </c>
      <c r="R5" s="2">
        <v>87</v>
      </c>
      <c r="S5" s="2">
        <v>204</v>
      </c>
    </row>
    <row r="6" spans="1:19" ht="27.75" x14ac:dyDescent="0.4">
      <c r="A6" s="3"/>
      <c r="B6" s="3" t="s">
        <v>19</v>
      </c>
      <c r="C6" s="1" t="s">
        <v>22</v>
      </c>
      <c r="D6" s="2">
        <v>100</v>
      </c>
      <c r="E6" s="6">
        <v>178.5</v>
      </c>
      <c r="F6" s="9">
        <v>30.56</v>
      </c>
      <c r="G6" s="9">
        <v>0.56999999999999995</v>
      </c>
      <c r="H6" s="9">
        <v>10.86</v>
      </c>
      <c r="I6" s="7">
        <v>54</v>
      </c>
      <c r="J6" s="10">
        <v>0.4</v>
      </c>
      <c r="K6" s="8">
        <v>1.6020000000000001</v>
      </c>
      <c r="L6" s="11">
        <f t="shared" si="0"/>
        <v>1.6331085843845736</v>
      </c>
      <c r="M6" s="14">
        <f t="shared" si="1"/>
        <v>3.796625315282924E-3</v>
      </c>
      <c r="N6" s="11">
        <f t="shared" si="2"/>
        <v>1.6252000682374328</v>
      </c>
      <c r="O6" s="13">
        <f t="shared" si="3"/>
        <v>3.8328902768820319E-3</v>
      </c>
      <c r="P6" s="9">
        <f t="shared" si="4"/>
        <v>7.0069972382337324</v>
      </c>
      <c r="Q6" s="9">
        <f t="shared" si="5"/>
        <v>6.7403823537228555E-2</v>
      </c>
      <c r="R6" s="2">
        <v>87</v>
      </c>
      <c r="S6" s="2">
        <v>205</v>
      </c>
    </row>
    <row r="7" spans="1:19" ht="27.75" x14ac:dyDescent="0.4">
      <c r="A7" s="3"/>
      <c r="B7" s="3" t="s">
        <v>20</v>
      </c>
      <c r="C7" s="1" t="s">
        <v>23</v>
      </c>
      <c r="D7" s="2">
        <v>100</v>
      </c>
      <c r="E7" s="6">
        <v>178.5</v>
      </c>
      <c r="F7" s="9">
        <v>30.57</v>
      </c>
      <c r="G7" s="9">
        <v>0.57999999999999996</v>
      </c>
      <c r="H7" s="9">
        <v>10.84</v>
      </c>
      <c r="I7" s="7">
        <v>62.2</v>
      </c>
      <c r="J7" s="10">
        <v>1.1000000000000001</v>
      </c>
      <c r="K7" s="8">
        <v>1.6020000000000001</v>
      </c>
      <c r="L7" s="11">
        <f t="shared" si="0"/>
        <v>1.6331085843845736</v>
      </c>
      <c r="M7" s="14">
        <f t="shared" si="1"/>
        <v>3.796625315282924E-3</v>
      </c>
      <c r="N7" s="11">
        <f t="shared" si="2"/>
        <v>1.6316850514780883</v>
      </c>
      <c r="O7" s="13">
        <f t="shared" si="3"/>
        <v>3.8983947900554524E-3</v>
      </c>
      <c r="P7" s="9">
        <f t="shared" si="4"/>
        <v>6.9972947371417114</v>
      </c>
      <c r="Q7" s="9">
        <f t="shared" si="5"/>
        <v>6.8452159688441788E-2</v>
      </c>
      <c r="R7" s="2">
        <v>87</v>
      </c>
      <c r="S7" s="2">
        <v>206</v>
      </c>
    </row>
    <row r="8" spans="1:19" ht="27.75" x14ac:dyDescent="0.4">
      <c r="A8" s="3" t="s">
        <v>24</v>
      </c>
      <c r="B8" s="3" t="s">
        <v>25</v>
      </c>
      <c r="C8" s="1" t="s">
        <v>29</v>
      </c>
      <c r="D8" s="2">
        <v>100</v>
      </c>
      <c r="E8" s="7">
        <v>215.4</v>
      </c>
      <c r="F8" s="9">
        <v>49.25</v>
      </c>
      <c r="G8" s="9">
        <v>0.78</v>
      </c>
      <c r="H8" s="9">
        <v>13.66</v>
      </c>
      <c r="I8" s="7">
        <v>81.099999999999994</v>
      </c>
      <c r="J8" s="10">
        <v>3.4</v>
      </c>
      <c r="K8" s="8">
        <v>1.55</v>
      </c>
      <c r="L8" s="11">
        <f t="shared" si="0"/>
        <v>1.581092782912493</v>
      </c>
      <c r="M8" s="14">
        <f t="shared" si="1"/>
        <v>3.9793935980837547E-3</v>
      </c>
      <c r="N8" s="11">
        <f t="shared" si="2"/>
        <v>1.5941856093472646</v>
      </c>
      <c r="O8" s="13">
        <f t="shared" si="3"/>
        <v>4.7933647195866017E-3</v>
      </c>
      <c r="P8" s="9">
        <f t="shared" si="4"/>
        <v>9.2218347608967584</v>
      </c>
      <c r="Q8" s="9">
        <f t="shared" si="5"/>
        <v>7.8112711486917966E-2</v>
      </c>
      <c r="R8" s="2">
        <v>89</v>
      </c>
      <c r="S8" s="2">
        <v>212</v>
      </c>
    </row>
    <row r="9" spans="1:19" ht="27.75" x14ac:dyDescent="0.4">
      <c r="B9" s="3" t="s">
        <v>26</v>
      </c>
      <c r="C9" s="1" t="s">
        <v>30</v>
      </c>
      <c r="D9" s="2">
        <v>100</v>
      </c>
      <c r="E9" s="6">
        <v>215.4</v>
      </c>
      <c r="F9" s="9">
        <v>49.23</v>
      </c>
      <c r="G9" s="9">
        <v>0.74</v>
      </c>
      <c r="H9" s="9">
        <v>13.69</v>
      </c>
      <c r="I9" s="7">
        <v>79.2</v>
      </c>
      <c r="J9" s="10">
        <v>1.1000000000000001</v>
      </c>
      <c r="K9" s="8">
        <v>1.55</v>
      </c>
      <c r="L9" s="11">
        <f t="shared" si="0"/>
        <v>1.581092782912493</v>
      </c>
      <c r="M9" s="14">
        <f t="shared" si="1"/>
        <v>3.9793935980837547E-3</v>
      </c>
      <c r="N9" s="11">
        <f t="shared" si="2"/>
        <v>1.5927308508545124</v>
      </c>
      <c r="O9" s="13">
        <f t="shared" si="3"/>
        <v>4.1058874947554795E-3</v>
      </c>
      <c r="P9" s="9">
        <f t="shared" si="4"/>
        <v>9.1847501252247206</v>
      </c>
      <c r="Q9" s="9">
        <f t="shared" si="5"/>
        <v>7.2977974972852619E-2</v>
      </c>
      <c r="R9" s="2">
        <v>89</v>
      </c>
      <c r="S9" s="2">
        <v>210</v>
      </c>
    </row>
    <row r="10" spans="1:19" ht="27.75" x14ac:dyDescent="0.4">
      <c r="B10" s="3" t="s">
        <v>26</v>
      </c>
      <c r="C10" s="1" t="s">
        <v>31</v>
      </c>
      <c r="D10" s="2">
        <v>100</v>
      </c>
      <c r="E10" s="6">
        <v>223</v>
      </c>
      <c r="F10" s="9">
        <v>50.97</v>
      </c>
      <c r="G10" s="9">
        <v>0.75</v>
      </c>
      <c r="H10" s="9">
        <v>13.93</v>
      </c>
      <c r="I10" s="7">
        <v>71.099999999999994</v>
      </c>
      <c r="J10" s="10">
        <v>4.3</v>
      </c>
      <c r="K10" s="8">
        <v>1.55</v>
      </c>
      <c r="L10" s="11">
        <f t="shared" si="0"/>
        <v>1.581092782912493</v>
      </c>
      <c r="M10" s="14">
        <f t="shared" si="1"/>
        <v>3.9793935980837547E-3</v>
      </c>
      <c r="N10" s="11">
        <f t="shared" si="2"/>
        <v>1.5865289857011993</v>
      </c>
      <c r="O10" s="13">
        <f t="shared" si="3"/>
        <v>5.1770200227602998E-3</v>
      </c>
      <c r="P10" s="9">
        <f t="shared" si="4"/>
        <v>9.382187887507774</v>
      </c>
      <c r="Q10" s="9">
        <f t="shared" si="5"/>
        <v>7.5511925670032704E-2</v>
      </c>
      <c r="R10" s="2">
        <v>89</v>
      </c>
      <c r="S10" s="2">
        <v>210</v>
      </c>
    </row>
    <row r="11" spans="1:19" ht="27.75" x14ac:dyDescent="0.4">
      <c r="B11" s="3" t="s">
        <v>26</v>
      </c>
      <c r="C11" s="1" t="s">
        <v>32</v>
      </c>
      <c r="D11" s="2">
        <v>100</v>
      </c>
      <c r="E11" s="6">
        <v>229</v>
      </c>
      <c r="F11" s="9">
        <v>52.37</v>
      </c>
      <c r="G11" s="9">
        <v>0.77</v>
      </c>
      <c r="H11" s="9">
        <v>14.12</v>
      </c>
      <c r="I11" s="7">
        <v>63.8</v>
      </c>
      <c r="J11" s="10">
        <v>0.6</v>
      </c>
      <c r="K11" s="8">
        <v>1.55</v>
      </c>
      <c r="L11" s="11">
        <f t="shared" si="0"/>
        <v>1.581092782912493</v>
      </c>
      <c r="M11" s="14">
        <f t="shared" si="1"/>
        <v>3.9793935980837547E-3</v>
      </c>
      <c r="N11" s="11">
        <f t="shared" si="2"/>
        <v>1.5809396504395716</v>
      </c>
      <c r="O11" s="13">
        <f t="shared" si="3"/>
        <v>4.0062077725252308E-3</v>
      </c>
      <c r="P11" s="9">
        <f t="shared" si="4"/>
        <v>9.543788694548784</v>
      </c>
      <c r="Q11" s="9">
        <f t="shared" si="5"/>
        <v>7.4212758850969618E-2</v>
      </c>
      <c r="R11" s="2">
        <v>89</v>
      </c>
      <c r="S11" s="2">
        <v>210</v>
      </c>
    </row>
    <row r="12" spans="1:19" ht="27.75" x14ac:dyDescent="0.4">
      <c r="B12" s="3" t="s">
        <v>26</v>
      </c>
      <c r="C12" s="1" t="s">
        <v>33</v>
      </c>
      <c r="D12" s="2">
        <v>100</v>
      </c>
      <c r="E12" s="5">
        <v>235</v>
      </c>
      <c r="F12" s="9">
        <v>53.85</v>
      </c>
      <c r="G12" s="9">
        <v>0.77</v>
      </c>
      <c r="H12" s="9">
        <v>14.32</v>
      </c>
      <c r="I12" s="7">
        <v>57.4</v>
      </c>
      <c r="J12" s="10">
        <v>0.3</v>
      </c>
      <c r="K12" s="8">
        <v>1.55</v>
      </c>
      <c r="L12" s="11">
        <f t="shared" si="0"/>
        <v>1.581092782912493</v>
      </c>
      <c r="M12" s="14">
        <f t="shared" si="1"/>
        <v>3.9793935980837547E-3</v>
      </c>
      <c r="N12" s="11">
        <f t="shared" si="2"/>
        <v>1.5760394113060898</v>
      </c>
      <c r="O12" s="13">
        <f t="shared" si="3"/>
        <v>4.0005865870833008E-3</v>
      </c>
      <c r="P12" s="9">
        <f t="shared" si="4"/>
        <v>9.7077950822353518</v>
      </c>
      <c r="Q12" s="9">
        <f t="shared" si="5"/>
        <v>7.3650482515182719E-2</v>
      </c>
      <c r="R12" s="2">
        <v>89</v>
      </c>
      <c r="S12" s="2">
        <v>210</v>
      </c>
    </row>
    <row r="13" spans="1:19" ht="27.75" x14ac:dyDescent="0.4">
      <c r="B13" s="3" t="s">
        <v>26</v>
      </c>
      <c r="C13" s="1" t="s">
        <v>34</v>
      </c>
      <c r="D13" s="2">
        <v>100</v>
      </c>
      <c r="E13" s="6">
        <v>241</v>
      </c>
      <c r="F13" s="9">
        <v>55.28</v>
      </c>
      <c r="G13" s="9">
        <v>0.76</v>
      </c>
      <c r="H13" s="9">
        <v>14.51</v>
      </c>
      <c r="I13" s="7">
        <v>51.3</v>
      </c>
      <c r="J13" s="10">
        <v>0.3</v>
      </c>
      <c r="K13" s="8">
        <v>1.55</v>
      </c>
      <c r="L13" s="11">
        <f t="shared" si="0"/>
        <v>1.581092782912493</v>
      </c>
      <c r="M13" s="14">
        <f t="shared" si="1"/>
        <v>3.9793935980837547E-3</v>
      </c>
      <c r="N13" s="11">
        <f t="shared" si="2"/>
        <v>1.5713688708819902</v>
      </c>
      <c r="O13" s="13">
        <f t="shared" si="3"/>
        <v>4.0173560942057002E-3</v>
      </c>
      <c r="P13" s="9">
        <f t="shared" si="4"/>
        <v>9.8650818255226618</v>
      </c>
      <c r="Q13" s="9">
        <f t="shared" si="5"/>
        <v>7.2351733209787744E-2</v>
      </c>
      <c r="R13" s="2">
        <v>89</v>
      </c>
      <c r="S13" s="2">
        <v>210</v>
      </c>
    </row>
    <row r="14" spans="1:19" ht="27.75" x14ac:dyDescent="0.4">
      <c r="B14" s="3" t="s">
        <v>27</v>
      </c>
      <c r="C14" s="1" t="s">
        <v>35</v>
      </c>
      <c r="D14" s="2">
        <v>100</v>
      </c>
      <c r="E14" s="6">
        <v>241</v>
      </c>
      <c r="F14" s="9">
        <v>55.18</v>
      </c>
      <c r="G14" s="9">
        <v>0.78</v>
      </c>
      <c r="H14" s="9">
        <v>14.56</v>
      </c>
      <c r="I14" s="7">
        <v>40.200000000000003</v>
      </c>
      <c r="J14" s="10">
        <v>1.4</v>
      </c>
      <c r="K14" s="8">
        <v>1.55</v>
      </c>
      <c r="L14" s="11">
        <f t="shared" si="0"/>
        <v>1.581092782912493</v>
      </c>
      <c r="M14" s="14">
        <f t="shared" si="1"/>
        <v>3.9793935980837547E-3</v>
      </c>
      <c r="N14" s="11">
        <f t="shared" si="2"/>
        <v>1.5628700186348574</v>
      </c>
      <c r="O14" s="13">
        <f t="shared" si="3"/>
        <v>4.1888437127670704E-3</v>
      </c>
      <c r="P14" s="9">
        <f t="shared" si="4"/>
        <v>9.8624503148090366</v>
      </c>
      <c r="Q14" s="9">
        <f t="shared" si="5"/>
        <v>7.4549358327147833E-2</v>
      </c>
      <c r="R14" s="2">
        <v>89</v>
      </c>
      <c r="S14" s="2">
        <v>208</v>
      </c>
    </row>
    <row r="15" spans="1:19" ht="27.75" x14ac:dyDescent="0.4">
      <c r="B15" s="3" t="s">
        <v>26</v>
      </c>
      <c r="C15" s="1" t="s">
        <v>36</v>
      </c>
      <c r="D15" s="2">
        <v>100</v>
      </c>
      <c r="E15" s="6">
        <v>247</v>
      </c>
      <c r="F15" s="9">
        <v>56.69</v>
      </c>
      <c r="G15" s="9">
        <v>0.78</v>
      </c>
      <c r="H15" s="9">
        <v>14.69</v>
      </c>
      <c r="I15" s="7">
        <v>45.8</v>
      </c>
      <c r="J15" s="10">
        <v>0.8</v>
      </c>
      <c r="K15" s="8">
        <v>1.55</v>
      </c>
      <c r="L15" s="11">
        <f t="shared" si="0"/>
        <v>1.581092782912493</v>
      </c>
      <c r="M15" s="14">
        <f t="shared" si="1"/>
        <v>3.9793935980837547E-3</v>
      </c>
      <c r="N15" s="11">
        <f t="shared" si="2"/>
        <v>1.5671577278766542</v>
      </c>
      <c r="O15" s="13">
        <f t="shared" si="3"/>
        <v>4.0749205838742242E-3</v>
      </c>
      <c r="P15" s="9">
        <f t="shared" si="4"/>
        <v>10.016946171606172</v>
      </c>
      <c r="Q15" s="9">
        <f t="shared" si="5"/>
        <v>7.3669738342355906E-2</v>
      </c>
      <c r="R15" s="2">
        <v>89</v>
      </c>
      <c r="S15" s="2">
        <v>210</v>
      </c>
    </row>
    <row r="16" spans="1:19" ht="27.75" x14ac:dyDescent="0.4">
      <c r="B16" s="3" t="s">
        <v>27</v>
      </c>
      <c r="C16" s="1" t="s">
        <v>37</v>
      </c>
      <c r="D16" s="2">
        <v>100</v>
      </c>
      <c r="E16" s="6">
        <v>247</v>
      </c>
      <c r="F16" s="9">
        <v>56.64</v>
      </c>
      <c r="G16" s="9">
        <v>0.79</v>
      </c>
      <c r="H16" s="9">
        <v>14.76</v>
      </c>
      <c r="I16" s="7">
        <v>38.5</v>
      </c>
      <c r="J16" s="10">
        <v>0.6</v>
      </c>
      <c r="K16" s="8">
        <v>1.55</v>
      </c>
      <c r="L16" s="11">
        <f t="shared" si="0"/>
        <v>1.581092782912493</v>
      </c>
      <c r="M16" s="14">
        <f t="shared" si="1"/>
        <v>3.9793935980837547E-3</v>
      </c>
      <c r="N16" s="11">
        <f t="shared" si="2"/>
        <v>1.5615683926150263</v>
      </c>
      <c r="O16" s="13">
        <f t="shared" si="3"/>
        <v>4.0821096233908298E-3</v>
      </c>
      <c r="P16" s="9">
        <f t="shared" si="4"/>
        <v>10.00040186914404</v>
      </c>
      <c r="Q16" s="9">
        <f t="shared" si="5"/>
        <v>7.448012251829618E-2</v>
      </c>
      <c r="R16" s="2">
        <v>89</v>
      </c>
      <c r="S16" s="2">
        <v>208</v>
      </c>
    </row>
    <row r="17" spans="1:19" ht="27.75" x14ac:dyDescent="0.4">
      <c r="B17" s="3" t="s">
        <v>26</v>
      </c>
      <c r="C17" s="1" t="s">
        <v>38</v>
      </c>
      <c r="D17" s="2">
        <v>100</v>
      </c>
      <c r="E17" s="6">
        <v>250</v>
      </c>
      <c r="F17" s="9">
        <v>57.38</v>
      </c>
      <c r="G17" s="9">
        <v>0.77</v>
      </c>
      <c r="H17" s="9">
        <v>14.78</v>
      </c>
      <c r="I17" s="7">
        <v>64.8</v>
      </c>
      <c r="J17" s="10">
        <v>0.9</v>
      </c>
      <c r="K17" s="8">
        <v>1.55</v>
      </c>
      <c r="L17" s="11">
        <f t="shared" si="0"/>
        <v>1.581092782912493</v>
      </c>
      <c r="M17" s="14">
        <f t="shared" si="1"/>
        <v>3.9793935980837547E-3</v>
      </c>
      <c r="N17" s="11">
        <f t="shared" si="2"/>
        <v>1.5817053128041783</v>
      </c>
      <c r="O17" s="13">
        <f t="shared" si="3"/>
        <v>4.0401632291435603E-3</v>
      </c>
      <c r="P17" s="9">
        <f t="shared" si="4"/>
        <v>9.985033325095273</v>
      </c>
      <c r="Q17" s="9">
        <f t="shared" si="5"/>
        <v>7.1686671026396226E-2</v>
      </c>
      <c r="R17" s="2">
        <v>89</v>
      </c>
      <c r="S17" s="2">
        <v>210</v>
      </c>
    </row>
    <row r="18" spans="1:19" ht="27.75" x14ac:dyDescent="0.4">
      <c r="B18" s="3" t="s">
        <v>27</v>
      </c>
      <c r="C18" s="1" t="s">
        <v>39</v>
      </c>
      <c r="D18" s="2">
        <v>100</v>
      </c>
      <c r="E18" s="6">
        <v>250</v>
      </c>
      <c r="F18" s="9">
        <v>57.31</v>
      </c>
      <c r="G18" s="9">
        <v>0.78</v>
      </c>
      <c r="H18" s="9">
        <v>14.84</v>
      </c>
      <c r="I18" s="7">
        <v>58.4</v>
      </c>
      <c r="J18" s="10">
        <v>0.6</v>
      </c>
      <c r="K18" s="8">
        <v>1.55</v>
      </c>
      <c r="L18" s="11">
        <f t="shared" si="0"/>
        <v>1.581092782912493</v>
      </c>
      <c r="M18" s="14">
        <f t="shared" si="1"/>
        <v>3.9793935980837547E-3</v>
      </c>
      <c r="N18" s="11">
        <f t="shared" si="2"/>
        <v>1.5768050736706964</v>
      </c>
      <c r="O18" s="13">
        <f t="shared" si="3"/>
        <v>4.0178852668742776E-3</v>
      </c>
      <c r="P18" s="9">
        <f t="shared" si="4"/>
        <v>9.96217200113243</v>
      </c>
      <c r="Q18" s="9">
        <f t="shared" si="5"/>
        <v>7.2390261292895872E-2</v>
      </c>
      <c r="R18" s="2">
        <v>89</v>
      </c>
      <c r="S18" s="2">
        <v>208</v>
      </c>
    </row>
    <row r="19" spans="1:19" ht="27.75" x14ac:dyDescent="0.4">
      <c r="B19" s="3" t="s">
        <v>26</v>
      </c>
      <c r="C19" s="1" t="s">
        <v>40</v>
      </c>
      <c r="D19" s="2">
        <v>100</v>
      </c>
      <c r="E19" s="6">
        <v>253</v>
      </c>
      <c r="F19" s="9">
        <v>58.1</v>
      </c>
      <c r="G19" s="9">
        <v>0.74</v>
      </c>
      <c r="H19" s="9">
        <v>14.87</v>
      </c>
      <c r="I19" s="7">
        <v>39.299999999999997</v>
      </c>
      <c r="J19" s="10">
        <v>6.1</v>
      </c>
      <c r="K19" s="8">
        <v>1.55</v>
      </c>
      <c r="L19" s="11">
        <f t="shared" si="0"/>
        <v>1.581092782912493</v>
      </c>
      <c r="M19" s="14">
        <f t="shared" si="1"/>
        <v>3.9793935980837547E-3</v>
      </c>
      <c r="N19" s="11">
        <f t="shared" si="2"/>
        <v>1.5621809225067116</v>
      </c>
      <c r="O19" s="13">
        <f t="shared" si="3"/>
        <v>6.183874123785244E-3</v>
      </c>
      <c r="P19" s="9">
        <f t="shared" si="4"/>
        <v>10.173058840207577</v>
      </c>
      <c r="Q19" s="9">
        <f t="shared" si="5"/>
        <v>7.6281159723766645E-2</v>
      </c>
      <c r="R19" s="2">
        <v>89</v>
      </c>
      <c r="S19" s="2">
        <v>210</v>
      </c>
    </row>
    <row r="20" spans="1:19" ht="27.75" x14ac:dyDescent="0.4">
      <c r="B20" s="3" t="s">
        <v>27</v>
      </c>
      <c r="C20" s="1" t="s">
        <v>41</v>
      </c>
      <c r="D20" s="2">
        <v>100</v>
      </c>
      <c r="E20" s="6">
        <v>253</v>
      </c>
      <c r="F20" s="9">
        <v>58.08</v>
      </c>
      <c r="G20" s="9">
        <v>0.79</v>
      </c>
      <c r="H20" s="9">
        <v>14.94</v>
      </c>
      <c r="I20" s="7">
        <v>33.799999999999997</v>
      </c>
      <c r="J20" s="10">
        <v>2.2000000000000002</v>
      </c>
      <c r="K20" s="8">
        <v>1.55</v>
      </c>
      <c r="L20" s="11">
        <f t="shared" si="0"/>
        <v>1.581092782912493</v>
      </c>
      <c r="M20" s="14">
        <f t="shared" si="1"/>
        <v>3.9793935980837547E-3</v>
      </c>
      <c r="N20" s="11">
        <f t="shared" si="2"/>
        <v>1.5579697795013756</v>
      </c>
      <c r="O20" s="13">
        <f t="shared" si="3"/>
        <v>4.410555732015803E-3</v>
      </c>
      <c r="P20" s="9">
        <f t="shared" si="4"/>
        <v>10.150118552567729</v>
      </c>
      <c r="Q20" s="9">
        <f t="shared" si="5"/>
        <v>7.4772327120345816E-2</v>
      </c>
      <c r="R20" s="2">
        <v>89</v>
      </c>
      <c r="S20" s="2">
        <v>208</v>
      </c>
    </row>
    <row r="21" spans="1:19" ht="27.75" x14ac:dyDescent="0.4">
      <c r="B21" s="3" t="s">
        <v>27</v>
      </c>
      <c r="C21" s="1" t="s">
        <v>42</v>
      </c>
      <c r="D21" s="2">
        <v>100</v>
      </c>
      <c r="E21" s="6">
        <v>259</v>
      </c>
      <c r="F21" s="9">
        <v>59.53</v>
      </c>
      <c r="G21" s="9">
        <v>0.77</v>
      </c>
      <c r="H21" s="9">
        <v>15.13</v>
      </c>
      <c r="I21" s="7">
        <v>22.6</v>
      </c>
      <c r="J21" s="10">
        <v>2.5</v>
      </c>
      <c r="K21" s="8">
        <v>1.55</v>
      </c>
      <c r="L21" s="11">
        <f t="shared" si="0"/>
        <v>1.581092782912493</v>
      </c>
      <c r="M21" s="14">
        <f t="shared" si="1"/>
        <v>3.9793935980837547E-3</v>
      </c>
      <c r="N21" s="11">
        <f t="shared" si="2"/>
        <v>1.5493943610177825</v>
      </c>
      <c r="O21" s="13">
        <f t="shared" si="3"/>
        <v>4.5530175788665679E-3</v>
      </c>
      <c r="P21" s="9">
        <f t="shared" si="4"/>
        <v>10.332913896487639</v>
      </c>
      <c r="Q21" s="9">
        <f t="shared" si="5"/>
        <v>7.3401204745490667E-2</v>
      </c>
      <c r="R21" s="2">
        <v>89</v>
      </c>
      <c r="S21" s="2">
        <v>208</v>
      </c>
    </row>
    <row r="22" spans="1:19" ht="27.75" x14ac:dyDescent="0.4">
      <c r="B22" s="3" t="s">
        <v>28</v>
      </c>
      <c r="C22" s="1" t="s">
        <v>43</v>
      </c>
      <c r="D22" s="2">
        <v>100</v>
      </c>
      <c r="E22" s="6">
        <v>259</v>
      </c>
      <c r="F22" s="9">
        <v>59.48</v>
      </c>
      <c r="G22" s="9">
        <v>0.8</v>
      </c>
      <c r="H22" s="9">
        <v>15.16</v>
      </c>
      <c r="I22" s="7">
        <v>32.5</v>
      </c>
      <c r="J22" s="10">
        <v>3.7</v>
      </c>
      <c r="K22" s="8">
        <v>1.55</v>
      </c>
      <c r="L22" s="11">
        <f t="shared" si="0"/>
        <v>1.581092782912493</v>
      </c>
      <c r="M22" s="14">
        <f t="shared" si="1"/>
        <v>3.9793935980837547E-3</v>
      </c>
      <c r="N22" s="11">
        <f t="shared" si="2"/>
        <v>1.5569744184273873</v>
      </c>
      <c r="O22" s="13">
        <f t="shared" si="3"/>
        <v>4.9688046572998199E-3</v>
      </c>
      <c r="P22" s="9">
        <f t="shared" si="4"/>
        <v>10.278289433012763</v>
      </c>
      <c r="Q22" s="9">
        <f t="shared" si="5"/>
        <v>7.6509058551865836E-2</v>
      </c>
      <c r="R22" s="2">
        <v>89</v>
      </c>
      <c r="S22" s="2">
        <v>208</v>
      </c>
    </row>
    <row r="23" spans="1:19" ht="27.75" x14ac:dyDescent="0.4">
      <c r="B23" s="3" t="s">
        <v>27</v>
      </c>
      <c r="C23" s="1" t="s">
        <v>44</v>
      </c>
      <c r="D23" s="2">
        <v>100</v>
      </c>
      <c r="E23" s="6">
        <v>265</v>
      </c>
      <c r="F23" s="9">
        <v>60.95</v>
      </c>
      <c r="G23" s="9">
        <v>0.75</v>
      </c>
      <c r="H23" s="9">
        <v>15.31</v>
      </c>
      <c r="I23" s="7">
        <v>23.4</v>
      </c>
      <c r="J23" s="10">
        <v>1.8</v>
      </c>
      <c r="K23" s="8">
        <v>1.55</v>
      </c>
      <c r="L23" s="11">
        <f t="shared" si="0"/>
        <v>1.581092782912493</v>
      </c>
      <c r="M23" s="14">
        <f t="shared" si="1"/>
        <v>3.9793935980837547E-3</v>
      </c>
      <c r="N23" s="11">
        <f t="shared" si="2"/>
        <v>1.5500068909094677</v>
      </c>
      <c r="O23" s="13">
        <f t="shared" si="3"/>
        <v>4.3508999473133303E-3</v>
      </c>
      <c r="P23" s="9">
        <f t="shared" si="4"/>
        <v>10.451294034422203</v>
      </c>
      <c r="Q23" s="9">
        <f t="shared" si="5"/>
        <v>7.0678610317893631E-2</v>
      </c>
      <c r="R23" s="2">
        <v>89</v>
      </c>
      <c r="S23" s="2">
        <v>208</v>
      </c>
    </row>
    <row r="24" spans="1:19" ht="27.75" x14ac:dyDescent="0.4">
      <c r="B24" s="3" t="s">
        <v>28</v>
      </c>
      <c r="C24" s="1" t="s">
        <v>45</v>
      </c>
      <c r="D24" s="2">
        <v>100</v>
      </c>
      <c r="E24" s="6">
        <v>265</v>
      </c>
      <c r="F24" s="9">
        <v>60.94</v>
      </c>
      <c r="G24" s="9">
        <v>0.78</v>
      </c>
      <c r="H24" s="9">
        <v>15.34</v>
      </c>
      <c r="I24" s="7">
        <v>22.3</v>
      </c>
      <c r="J24" s="10">
        <v>3</v>
      </c>
      <c r="K24" s="8">
        <v>1.55</v>
      </c>
      <c r="L24" s="11">
        <f t="shared" si="0"/>
        <v>1.581092782912493</v>
      </c>
      <c r="M24" s="14">
        <f t="shared" si="1"/>
        <v>3.9793935980837547E-3</v>
      </c>
      <c r="N24" s="11">
        <f t="shared" si="2"/>
        <v>1.5491646623084006</v>
      </c>
      <c r="O24" s="13">
        <f t="shared" si="3"/>
        <v>4.7281484733017153E-3</v>
      </c>
      <c r="P24" s="9">
        <f t="shared" si="4"/>
        <v>10.456118183137534</v>
      </c>
      <c r="Q24" s="9">
        <f t="shared" si="5"/>
        <v>7.4136554008891839E-2</v>
      </c>
      <c r="R24" s="2">
        <v>89</v>
      </c>
      <c r="S24" s="2">
        <v>208</v>
      </c>
    </row>
    <row r="25" spans="1:19" ht="27.75" x14ac:dyDescent="0.4">
      <c r="B25" s="3" t="s">
        <v>46</v>
      </c>
      <c r="C25" s="1" t="s">
        <v>48</v>
      </c>
      <c r="D25" s="2">
        <v>100</v>
      </c>
      <c r="E25" s="6">
        <v>235</v>
      </c>
      <c r="F25" s="9">
        <v>53.18</v>
      </c>
      <c r="G25" s="9">
        <v>0.72</v>
      </c>
      <c r="H25" s="9">
        <v>14.17</v>
      </c>
      <c r="I25" s="7">
        <v>53</v>
      </c>
      <c r="J25" s="10">
        <v>7.2</v>
      </c>
      <c r="K25" s="8">
        <v>1.58</v>
      </c>
      <c r="L25" s="11">
        <f t="shared" si="0"/>
        <v>1.611125172451835</v>
      </c>
      <c r="M25" s="14">
        <f t="shared" si="1"/>
        <v>3.8771604846417796E-3</v>
      </c>
      <c r="N25" s="11">
        <f t="shared" si="2"/>
        <v>1.6025429076106872</v>
      </c>
      <c r="O25" s="13">
        <f t="shared" si="3"/>
        <v>6.8404855271350339E-3</v>
      </c>
      <c r="P25" s="9">
        <f t="shared" si="4"/>
        <v>9.6222480510689135</v>
      </c>
      <c r="Q25" s="9">
        <f t="shared" si="5"/>
        <v>7.7005569213240074E-2</v>
      </c>
      <c r="R25" s="2">
        <v>91</v>
      </c>
      <c r="S25" s="2">
        <v>216</v>
      </c>
    </row>
    <row r="26" spans="1:19" ht="27.75" x14ac:dyDescent="0.4">
      <c r="B26" s="3" t="s">
        <v>46</v>
      </c>
      <c r="C26" s="1" t="s">
        <v>49</v>
      </c>
      <c r="D26" s="2">
        <v>100</v>
      </c>
      <c r="E26" s="6">
        <v>253</v>
      </c>
      <c r="F26" s="9">
        <v>57.41</v>
      </c>
      <c r="G26" s="9">
        <v>0.7</v>
      </c>
      <c r="H26" s="9">
        <v>14.72</v>
      </c>
      <c r="I26" s="7">
        <v>79.2</v>
      </c>
      <c r="J26" s="10">
        <v>19.7</v>
      </c>
      <c r="K26" s="8">
        <v>1.54</v>
      </c>
      <c r="L26" s="11">
        <f t="shared" si="0"/>
        <v>1.5710686655435162</v>
      </c>
      <c r="M26" s="14">
        <f t="shared" si="1"/>
        <v>4.0116315716262627E-3</v>
      </c>
      <c r="N26" s="11">
        <f t="shared" si="2"/>
        <v>1.5826329482148291</v>
      </c>
      <c r="O26" s="13">
        <f t="shared" si="3"/>
        <v>1.5525691479403643E-2</v>
      </c>
      <c r="P26" s="9">
        <f t="shared" si="4"/>
        <v>10.123381856300322</v>
      </c>
      <c r="Q26" s="9">
        <f t="shared" si="5"/>
        <v>0.116925792413549</v>
      </c>
      <c r="R26" s="2">
        <v>91</v>
      </c>
      <c r="S26" s="2">
        <v>216</v>
      </c>
    </row>
    <row r="27" spans="1:19" ht="27.75" x14ac:dyDescent="0.4">
      <c r="B27" s="3" t="s">
        <v>47</v>
      </c>
      <c r="C27" s="1" t="s">
        <v>50</v>
      </c>
      <c r="D27" s="2">
        <v>100</v>
      </c>
      <c r="E27" s="6">
        <v>253</v>
      </c>
      <c r="F27" s="9">
        <v>57.34</v>
      </c>
      <c r="G27" s="9">
        <v>0.67</v>
      </c>
      <c r="H27" s="9">
        <v>14.75</v>
      </c>
      <c r="I27" s="7">
        <v>87.2</v>
      </c>
      <c r="J27" s="10">
        <v>15.7</v>
      </c>
      <c r="K27" s="8">
        <v>1.54</v>
      </c>
      <c r="L27" s="11">
        <f t="shared" si="0"/>
        <v>1.5710686655435162</v>
      </c>
      <c r="M27" s="14">
        <f t="shared" si="1"/>
        <v>4.0116315716262627E-3</v>
      </c>
      <c r="N27" s="11">
        <f t="shared" si="2"/>
        <v>1.5887194127786783</v>
      </c>
      <c r="O27" s="13">
        <f t="shared" si="3"/>
        <v>1.2622005468382087E-2</v>
      </c>
      <c r="P27" s="9">
        <f t="shared" si="4"/>
        <v>10.055091910730276</v>
      </c>
      <c r="Q27" s="9">
        <f t="shared" si="5"/>
        <v>9.9159880454221236E-2</v>
      </c>
      <c r="R27" s="2">
        <v>91</v>
      </c>
      <c r="S27" s="2">
        <v>215</v>
      </c>
    </row>
    <row r="28" spans="1:19" ht="27.75" x14ac:dyDescent="0.4">
      <c r="B28" s="3" t="s">
        <v>55</v>
      </c>
      <c r="C28" s="1" t="s">
        <v>51</v>
      </c>
      <c r="D28" s="2">
        <v>100</v>
      </c>
      <c r="E28" s="6">
        <v>259</v>
      </c>
      <c r="F28" s="9">
        <v>58.78</v>
      </c>
      <c r="G28" s="9">
        <v>0.74</v>
      </c>
      <c r="H28" s="9">
        <v>14.97</v>
      </c>
      <c r="I28" s="7">
        <v>88.2</v>
      </c>
      <c r="J28" s="10">
        <v>11.6</v>
      </c>
      <c r="K28" s="8">
        <v>1.54</v>
      </c>
      <c r="L28" s="11">
        <f t="shared" si="0"/>
        <v>1.5710686655435162</v>
      </c>
      <c r="M28" s="14">
        <f t="shared" si="1"/>
        <v>4.0116315716262627E-3</v>
      </c>
      <c r="N28" s="11">
        <f t="shared" si="2"/>
        <v>1.5894802208491594</v>
      </c>
      <c r="O28" s="13">
        <f t="shared" si="3"/>
        <v>9.7241221609042968E-3</v>
      </c>
      <c r="P28" s="9">
        <f t="shared" si="4"/>
        <v>10.152002645389436</v>
      </c>
      <c r="Q28" s="9">
        <f t="shared" si="5"/>
        <v>8.9112494261176581E-2</v>
      </c>
      <c r="R28" s="2">
        <v>91</v>
      </c>
      <c r="S28" s="2">
        <v>214</v>
      </c>
    </row>
    <row r="29" spans="1:19" ht="27.75" x14ac:dyDescent="0.4">
      <c r="B29" s="3" t="s">
        <v>55</v>
      </c>
      <c r="C29" s="1" t="s">
        <v>52</v>
      </c>
      <c r="D29" s="2">
        <v>100</v>
      </c>
      <c r="E29" s="6">
        <v>265</v>
      </c>
      <c r="F29" s="9">
        <v>60.25</v>
      </c>
      <c r="G29" s="9">
        <v>0.72</v>
      </c>
      <c r="H29" s="9">
        <v>15.15</v>
      </c>
      <c r="I29" s="7">
        <v>68.5</v>
      </c>
      <c r="J29" s="10">
        <v>5.2</v>
      </c>
      <c r="K29" s="8">
        <v>1.54</v>
      </c>
      <c r="L29" s="11">
        <f t="shared" si="0"/>
        <v>1.5710686655435162</v>
      </c>
      <c r="M29" s="14">
        <f t="shared" si="1"/>
        <v>4.0116315716262627E-3</v>
      </c>
      <c r="N29" s="11">
        <f t="shared" si="2"/>
        <v>1.5744923018606813</v>
      </c>
      <c r="O29" s="13">
        <f t="shared" si="3"/>
        <v>5.6410823398449711E-3</v>
      </c>
      <c r="P29" s="9">
        <f t="shared" si="4"/>
        <v>10.376001919969184</v>
      </c>
      <c r="Q29" s="9">
        <f t="shared" si="5"/>
        <v>7.2289003677177791E-2</v>
      </c>
      <c r="R29" s="2">
        <v>91</v>
      </c>
      <c r="S29" s="2">
        <v>214</v>
      </c>
    </row>
    <row r="30" spans="1:19" ht="27.75" x14ac:dyDescent="0.4">
      <c r="B30" s="3" t="s">
        <v>55</v>
      </c>
      <c r="C30" s="1" t="s">
        <v>53</v>
      </c>
      <c r="D30" s="2">
        <v>100</v>
      </c>
      <c r="E30" s="6">
        <v>271</v>
      </c>
      <c r="F30" s="9">
        <v>61.54</v>
      </c>
      <c r="G30" s="9">
        <v>0.73</v>
      </c>
      <c r="H30" s="9">
        <v>15.31</v>
      </c>
      <c r="I30" s="7">
        <v>42.8</v>
      </c>
      <c r="J30" s="10">
        <v>18.399999999999999</v>
      </c>
      <c r="K30" s="8">
        <v>1.54</v>
      </c>
      <c r="L30" s="11">
        <f t="shared" si="0"/>
        <v>1.5710686655435162</v>
      </c>
      <c r="M30" s="14">
        <f t="shared" si="1"/>
        <v>4.0116315716262627E-3</v>
      </c>
      <c r="N30" s="11">
        <f t="shared" si="2"/>
        <v>1.5549395344493164</v>
      </c>
      <c r="O30" s="13">
        <f t="shared" si="3"/>
        <v>1.4578962854217429E-2</v>
      </c>
      <c r="P30" s="9">
        <f t="shared" si="4"/>
        <v>10.618356438060351</v>
      </c>
      <c r="Q30" s="9">
        <f t="shared" si="5"/>
        <v>0.11780420785547592</v>
      </c>
      <c r="R30" s="2">
        <v>91</v>
      </c>
      <c r="S30" s="2">
        <v>214</v>
      </c>
    </row>
    <row r="31" spans="1:19" ht="27.75" x14ac:dyDescent="0.4">
      <c r="A31" s="3" t="s">
        <v>54</v>
      </c>
      <c r="B31" s="3" t="s">
        <v>56</v>
      </c>
      <c r="C31" s="1" t="s">
        <v>57</v>
      </c>
      <c r="D31" s="2">
        <v>100</v>
      </c>
      <c r="E31" s="6">
        <v>264.10000000000002</v>
      </c>
      <c r="F31" s="9">
        <v>49.74</v>
      </c>
      <c r="G31" s="9">
        <v>0.63</v>
      </c>
      <c r="H31" s="9">
        <v>13.13</v>
      </c>
      <c r="I31" s="7">
        <v>71.599999999999994</v>
      </c>
      <c r="J31" s="10">
        <v>8</v>
      </c>
      <c r="K31" s="8">
        <v>2</v>
      </c>
      <c r="L31" s="11">
        <f t="shared" si="0"/>
        <v>2.0215905960259537</v>
      </c>
      <c r="M31" s="14">
        <f t="shared" si="1"/>
        <v>1.080828687539266E-3</v>
      </c>
      <c r="N31" s="11">
        <f t="shared" si="2"/>
        <v>2.0290308326021269</v>
      </c>
      <c r="O31" s="13">
        <f t="shared" si="3"/>
        <v>7.9086527978860163E-3</v>
      </c>
      <c r="P31" s="9">
        <f t="shared" si="4"/>
        <v>8.0946870363124397</v>
      </c>
      <c r="Q31" s="9">
        <f t="shared" si="5"/>
        <v>6.0194470760541956E-2</v>
      </c>
      <c r="R31" s="2">
        <v>107</v>
      </c>
      <c r="S31" s="2">
        <v>262</v>
      </c>
    </row>
    <row r="32" spans="1:19" ht="27.75" x14ac:dyDescent="0.4">
      <c r="A32" s="3" t="s">
        <v>58</v>
      </c>
      <c r="B32" s="3" t="s">
        <v>59</v>
      </c>
      <c r="C32" s="1" t="s">
        <v>60</v>
      </c>
      <c r="D32" s="2">
        <v>100</v>
      </c>
      <c r="E32" s="6">
        <v>187.5</v>
      </c>
      <c r="F32" s="9">
        <v>28.51</v>
      </c>
      <c r="G32" s="9">
        <v>0.54</v>
      </c>
      <c r="H32" s="9">
        <v>10.18</v>
      </c>
      <c r="I32" s="7">
        <v>72</v>
      </c>
      <c r="J32" s="10">
        <v>2</v>
      </c>
      <c r="K32" s="8">
        <v>1.8240000000000001</v>
      </c>
      <c r="L32" s="11">
        <f t="shared" si="0"/>
        <v>1.8524581739149377</v>
      </c>
      <c r="M32" s="14">
        <f t="shared" si="1"/>
        <v>2.643454252779045E-3</v>
      </c>
      <c r="N32" s="11">
        <f t="shared" si="2"/>
        <v>1.8596347673247775</v>
      </c>
      <c r="O32" s="13">
        <f t="shared" si="3"/>
        <v>3.2079996622776078E-3</v>
      </c>
      <c r="P32" s="9">
        <f t="shared" si="4"/>
        <v>6.3192284056727273</v>
      </c>
      <c r="Q32" s="9">
        <f t="shared" si="5"/>
        <v>6.083011770665251E-2</v>
      </c>
      <c r="R32" s="2">
        <v>97</v>
      </c>
      <c r="S32" s="2">
        <v>234</v>
      </c>
    </row>
    <row r="33" spans="1:19" ht="27.75" x14ac:dyDescent="0.4">
      <c r="A33" s="3" t="s">
        <v>61</v>
      </c>
      <c r="B33" s="3" t="s">
        <v>62</v>
      </c>
      <c r="C33" s="1" t="s">
        <v>57</v>
      </c>
      <c r="D33" s="2">
        <v>100</v>
      </c>
      <c r="E33" s="6">
        <v>187.4</v>
      </c>
      <c r="F33" s="9">
        <v>27</v>
      </c>
      <c r="G33" s="9">
        <v>0.54</v>
      </c>
      <c r="H33" s="9">
        <v>9.7799999999999994</v>
      </c>
      <c r="I33" s="7">
        <v>55.7</v>
      </c>
      <c r="J33" s="10">
        <v>3.1</v>
      </c>
      <c r="K33" s="8">
        <v>1.98</v>
      </c>
      <c r="L33" s="11">
        <f t="shared" si="0"/>
        <v>2.0026644211593512</v>
      </c>
      <c r="M33" s="14">
        <f t="shared" si="1"/>
        <v>1.2980911669571793E-3</v>
      </c>
      <c r="N33" s="11">
        <f t="shared" si="2"/>
        <v>1.9946149709435532</v>
      </c>
      <c r="O33" s="13">
        <f t="shared" si="3"/>
        <v>3.2825551775504257E-3</v>
      </c>
      <c r="P33" s="9">
        <f t="shared" si="4"/>
        <v>5.8905582783151305</v>
      </c>
      <c r="Q33" s="9">
        <f t="shared" si="5"/>
        <v>5.9697940414616804E-2</v>
      </c>
      <c r="R33" s="2">
        <v>101</v>
      </c>
      <c r="S33" s="2">
        <v>247</v>
      </c>
    </row>
    <row r="34" spans="1:19" ht="27.75" x14ac:dyDescent="0.4">
      <c r="B34" s="3" t="s">
        <v>70</v>
      </c>
      <c r="C34" s="1" t="s">
        <v>71</v>
      </c>
      <c r="D34" s="2">
        <v>100</v>
      </c>
      <c r="E34" s="6">
        <v>176</v>
      </c>
      <c r="F34" s="9">
        <v>31.37</v>
      </c>
      <c r="G34" s="9">
        <v>0.61</v>
      </c>
      <c r="H34" s="9">
        <v>11.1</v>
      </c>
      <c r="I34" s="7">
        <v>59.7</v>
      </c>
      <c r="J34" s="10">
        <v>0.2</v>
      </c>
      <c r="K34" s="8">
        <v>1.6</v>
      </c>
      <c r="L34" s="11">
        <f t="shared" si="0"/>
        <v>1.6311115687375779</v>
      </c>
      <c r="M34" s="14">
        <f t="shared" si="1"/>
        <v>3.8041501249469127E-3</v>
      </c>
      <c r="N34" s="11">
        <f t="shared" si="2"/>
        <v>1.6277150652288266</v>
      </c>
      <c r="O34" s="13">
        <f t="shared" si="3"/>
        <v>3.8162298108112562E-3</v>
      </c>
      <c r="P34" s="9">
        <f t="shared" si="4"/>
        <v>6.9132355517716721</v>
      </c>
      <c r="Q34" s="9">
        <f t="shared" si="5"/>
        <v>6.9141702838566202E-2</v>
      </c>
      <c r="R34" s="2">
        <v>83</v>
      </c>
      <c r="S34" s="2">
        <v>195</v>
      </c>
    </row>
    <row r="35" spans="1:19" ht="27.75" x14ac:dyDescent="0.4">
      <c r="A35" s="3" t="s">
        <v>63</v>
      </c>
      <c r="B35" s="3" t="s">
        <v>64</v>
      </c>
      <c r="C35" s="1" t="s">
        <v>65</v>
      </c>
      <c r="D35" s="2">
        <v>100</v>
      </c>
      <c r="E35" s="6">
        <v>219.1</v>
      </c>
      <c r="F35" s="9">
        <v>37.68</v>
      </c>
      <c r="G35" s="9">
        <v>0.56000000000000005</v>
      </c>
      <c r="H35" s="9">
        <v>11.42</v>
      </c>
      <c r="I35" s="7">
        <v>62.8</v>
      </c>
      <c r="J35" s="10">
        <v>0.3</v>
      </c>
      <c r="K35" s="8">
        <v>1.998</v>
      </c>
      <c r="L35" s="11">
        <f t="shared" si="0"/>
        <v>2.0197019173240607</v>
      </c>
      <c r="M35" s="14">
        <f t="shared" si="1"/>
        <v>1.1030863914953731E-3</v>
      </c>
      <c r="N35" s="11">
        <f t="shared" si="2"/>
        <v>2.0185282406650829</v>
      </c>
      <c r="O35" s="13">
        <f t="shared" si="3"/>
        <v>1.1424170006108557E-3</v>
      </c>
      <c r="P35" s="9">
        <f t="shared" si="4"/>
        <v>6.973047895187853</v>
      </c>
      <c r="Q35" s="9">
        <f t="shared" si="5"/>
        <v>5.1966775086801004E-2</v>
      </c>
      <c r="R35" s="2">
        <v>102</v>
      </c>
      <c r="S35" s="2">
        <v>254</v>
      </c>
    </row>
    <row r="36" spans="1:19" ht="27.75" x14ac:dyDescent="0.4">
      <c r="B36" s="3" t="s">
        <v>66</v>
      </c>
      <c r="C36" s="1" t="s">
        <v>67</v>
      </c>
      <c r="D36" s="2">
        <v>100</v>
      </c>
      <c r="E36" s="6">
        <v>209.2</v>
      </c>
      <c r="F36" s="9">
        <v>37.33</v>
      </c>
      <c r="G36" s="9">
        <v>0.59</v>
      </c>
      <c r="H36" s="9">
        <v>11.51</v>
      </c>
      <c r="I36" s="7">
        <v>36.200000000000003</v>
      </c>
      <c r="J36" s="10">
        <v>4.5</v>
      </c>
      <c r="K36" s="8">
        <v>1.8660000000000001</v>
      </c>
      <c r="L36" s="11">
        <f t="shared" si="0"/>
        <v>1.8932966912962972</v>
      </c>
      <c r="M36" s="14">
        <f t="shared" si="1"/>
        <v>2.3352486995193529E-3</v>
      </c>
      <c r="N36" s="11">
        <f t="shared" si="2"/>
        <v>1.8678082418928894</v>
      </c>
      <c r="O36" s="13">
        <f t="shared" si="3"/>
        <v>4.7963051962786928E-3</v>
      </c>
      <c r="P36" s="9">
        <f t="shared" si="4"/>
        <v>7.3364340364187361</v>
      </c>
      <c r="Q36" s="9">
        <f t="shared" si="5"/>
        <v>6.0960147372714851E-2</v>
      </c>
      <c r="R36" s="2">
        <v>99</v>
      </c>
      <c r="S36" s="2">
        <v>243</v>
      </c>
    </row>
    <row r="37" spans="1:19" ht="27.75" x14ac:dyDescent="0.4">
      <c r="A37" s="3" t="s">
        <v>68</v>
      </c>
      <c r="B37" s="3" t="s">
        <v>75</v>
      </c>
      <c r="C37" s="1" t="s">
        <v>69</v>
      </c>
      <c r="D37" s="2">
        <v>100</v>
      </c>
      <c r="E37" s="6">
        <v>256</v>
      </c>
      <c r="F37" s="9">
        <v>36.700000000000003</v>
      </c>
      <c r="G37" s="9">
        <v>0.56000000000000005</v>
      </c>
      <c r="H37" s="9">
        <v>11.02</v>
      </c>
      <c r="I37" s="7">
        <v>63.1</v>
      </c>
      <c r="J37" s="10">
        <v>28</v>
      </c>
      <c r="K37" s="8">
        <v>2.0960000000000001</v>
      </c>
      <c r="L37" s="11">
        <f t="shared" si="0"/>
        <v>2.1111026579966152</v>
      </c>
      <c r="M37" s="14">
        <f t="shared" si="1"/>
        <v>1.4169139862904191E-4</v>
      </c>
      <c r="N37" s="11">
        <f t="shared" si="2"/>
        <v>2.1101825648284809</v>
      </c>
      <c r="O37" s="13">
        <f t="shared" si="3"/>
        <v>2.8625480438133875E-2</v>
      </c>
      <c r="P37" s="9">
        <f t="shared" si="4"/>
        <v>7.009619085799315</v>
      </c>
      <c r="Q37" s="9">
        <f t="shared" si="5"/>
        <v>0.10909552183500996</v>
      </c>
      <c r="R37" s="2">
        <v>115</v>
      </c>
      <c r="S37" s="2">
        <v>288</v>
      </c>
    </row>
    <row r="38" spans="1:19" s="2" customFormat="1" ht="28.15" thickBot="1" x14ac:dyDescent="0.45">
      <c r="A38" s="12" t="s">
        <v>86</v>
      </c>
      <c r="B38" s="12" t="s">
        <v>88</v>
      </c>
      <c r="C38" s="1" t="s">
        <v>89</v>
      </c>
      <c r="D38" s="2">
        <v>100</v>
      </c>
      <c r="E38" s="2">
        <v>257</v>
      </c>
      <c r="F38" s="2">
        <v>48.82</v>
      </c>
      <c r="G38" s="2">
        <v>0.64</v>
      </c>
      <c r="H38" s="2">
        <v>13.04</v>
      </c>
      <c r="I38" s="2">
        <v>60.89</v>
      </c>
      <c r="J38" s="2">
        <v>2.64</v>
      </c>
      <c r="K38" s="2">
        <v>2.0259999999999998</v>
      </c>
      <c r="L38" s="11">
        <f t="shared" si="0"/>
        <v>2.0460603983012899</v>
      </c>
      <c r="M38" s="14">
        <f t="shared" si="1"/>
        <v>7.8028446881545316E-4</v>
      </c>
      <c r="N38" s="11">
        <f t="shared" si="2"/>
        <v>2.0429789223503372</v>
      </c>
      <c r="O38" s="13">
        <f t="shared" si="3"/>
        <v>2.731041181443088E-3</v>
      </c>
      <c r="P38" s="9">
        <f t="shared" si="4"/>
        <v>7.9647256333543233</v>
      </c>
      <c r="Q38" s="9">
        <f t="shared" si="5"/>
        <v>5.3280970989253225E-2</v>
      </c>
      <c r="R38" s="2">
        <v>106</v>
      </c>
      <c r="S38" s="2">
        <v>262</v>
      </c>
    </row>
    <row r="39" spans="1:19" s="2" customFormat="1" ht="28.5" thickTop="1" thickBot="1" x14ac:dyDescent="0.45">
      <c r="A39" s="12" t="s">
        <v>87</v>
      </c>
      <c r="B39" s="15" t="s">
        <v>90</v>
      </c>
      <c r="C39" s="1" t="s">
        <v>91</v>
      </c>
      <c r="D39" s="2">
        <v>100</v>
      </c>
      <c r="E39" s="2">
        <v>271.2</v>
      </c>
      <c r="F39" s="2">
        <v>40.42</v>
      </c>
      <c r="G39" s="2">
        <v>0.56999999999999995</v>
      </c>
      <c r="H39" s="2">
        <v>11.57</v>
      </c>
      <c r="I39" s="2">
        <v>72</v>
      </c>
      <c r="K39" s="2">
        <v>1.8169999999999999</v>
      </c>
      <c r="L39" s="11">
        <f t="shared" si="0"/>
        <v>1.8456272174263462</v>
      </c>
      <c r="M39" s="14">
        <f t="shared" si="1"/>
        <v>2.6914859528837072E-3</v>
      </c>
      <c r="N39" s="11">
        <f t="shared" si="2"/>
        <v>1.8527773470822351</v>
      </c>
      <c r="O39" s="13">
        <f t="shared" si="3"/>
        <v>2.707453929555416E-3</v>
      </c>
      <c r="P39" s="9">
        <f t="shared" si="4"/>
        <v>8.0821608998792893</v>
      </c>
      <c r="Q39" s="9">
        <f t="shared" si="5"/>
        <v>5.8198005955848911E-2</v>
      </c>
      <c r="R39" s="2">
        <v>112</v>
      </c>
      <c r="S39" s="2">
        <v>268</v>
      </c>
    </row>
    <row r="40" spans="1:19" ht="14.25" thickTop="1" x14ac:dyDescent="0.4">
      <c r="E40" s="1">
        <v>310</v>
      </c>
      <c r="F40" s="1">
        <v>50.2</v>
      </c>
      <c r="G40" s="1">
        <v>0.6</v>
      </c>
      <c r="H40" s="1">
        <v>12.92</v>
      </c>
      <c r="K40" s="1">
        <v>2.0640000000000001</v>
      </c>
      <c r="L40" s="1">
        <f t="shared" si="0"/>
        <v>2.0815295289351439</v>
      </c>
      <c r="M40" s="1">
        <f t="shared" si="1"/>
        <v>3.0136854157465252E-4</v>
      </c>
    </row>
    <row r="41" spans="1:19" x14ac:dyDescent="0.4">
      <c r="C41" s="4"/>
      <c r="K41" s="1">
        <v>2.2160000000000002</v>
      </c>
      <c r="L41" s="1">
        <f t="shared" si="0"/>
        <v>2.219139392001638</v>
      </c>
    </row>
    <row r="42" spans="1:19" x14ac:dyDescent="0.4">
      <c r="C42" s="4"/>
    </row>
    <row r="43" spans="1:19" x14ac:dyDescent="0.4">
      <c r="C43" s="4"/>
    </row>
    <row r="44" spans="1:19" x14ac:dyDescent="0.4">
      <c r="C44" s="4"/>
    </row>
    <row r="45" spans="1:19" x14ac:dyDescent="0.4">
      <c r="C45" s="4"/>
    </row>
    <row r="46" spans="1:19" x14ac:dyDescent="0.4">
      <c r="C46" s="4"/>
    </row>
    <row r="47" spans="1:19" x14ac:dyDescent="0.4">
      <c r="C47" s="4"/>
    </row>
    <row r="48" spans="1:19" x14ac:dyDescent="0.4">
      <c r="C48" s="4"/>
    </row>
    <row r="49" spans="3:3" x14ac:dyDescent="0.4">
      <c r="C49" s="4"/>
    </row>
    <row r="50" spans="3:3" x14ac:dyDescent="0.4">
      <c r="C50" s="4"/>
    </row>
    <row r="51" spans="3:3" x14ac:dyDescent="0.4">
      <c r="C51" s="4"/>
    </row>
    <row r="52" spans="3:3" x14ac:dyDescent="0.4">
      <c r="C52" s="4"/>
    </row>
    <row r="53" spans="3:3" x14ac:dyDescent="0.4">
      <c r="C53" s="4"/>
    </row>
    <row r="54" spans="3:3" x14ac:dyDescent="0.4">
      <c r="C54" s="4"/>
    </row>
    <row r="55" spans="3:3" x14ac:dyDescent="0.4">
      <c r="C55" s="4"/>
    </row>
    <row r="56" spans="3:3" x14ac:dyDescent="0.4">
      <c r="C56" s="4"/>
    </row>
    <row r="57" spans="3:3" x14ac:dyDescent="0.4">
      <c r="C57" s="4"/>
    </row>
    <row r="58" spans="3:3" x14ac:dyDescent="0.4">
      <c r="C58" s="4"/>
    </row>
    <row r="59" spans="3:3" x14ac:dyDescent="0.4">
      <c r="C59" s="4"/>
    </row>
    <row r="60" spans="3:3" x14ac:dyDescent="0.4">
      <c r="C60" s="4"/>
    </row>
    <row r="61" spans="3:3" x14ac:dyDescent="0.4">
      <c r="C61" s="4"/>
    </row>
    <row r="62" spans="3:3" x14ac:dyDescent="0.4">
      <c r="C62" s="4"/>
    </row>
    <row r="63" spans="3:3" x14ac:dyDescent="0.4">
      <c r="C63" s="4"/>
    </row>
    <row r="64" spans="3:3" x14ac:dyDescent="0.4">
      <c r="C64" s="4"/>
    </row>
    <row r="65" spans="3:3" x14ac:dyDescent="0.4">
      <c r="C65" s="4"/>
    </row>
    <row r="66" spans="3:3" x14ac:dyDescent="0.4">
      <c r="C66" s="4"/>
    </row>
    <row r="67" spans="3:3" x14ac:dyDescent="0.4">
      <c r="C67" s="4"/>
    </row>
    <row r="68" spans="3:3" x14ac:dyDescent="0.4">
      <c r="C68" s="4"/>
    </row>
    <row r="69" spans="3:3" x14ac:dyDescent="0.4">
      <c r="C69" s="4"/>
    </row>
    <row r="70" spans="3:3" x14ac:dyDescent="0.4">
      <c r="C70" s="4"/>
    </row>
    <row r="71" spans="3:3" x14ac:dyDescent="0.4">
      <c r="C71" s="4"/>
    </row>
    <row r="72" spans="3:3" x14ac:dyDescent="0.4">
      <c r="C72" s="4"/>
    </row>
    <row r="73" spans="3:3" x14ac:dyDescent="0.4">
      <c r="C73" s="4"/>
    </row>
    <row r="74" spans="3:3" x14ac:dyDescent="0.4">
      <c r="C74" s="4"/>
    </row>
    <row r="75" spans="3:3" x14ac:dyDescent="0.4">
      <c r="C75" s="4"/>
    </row>
    <row r="76" spans="3:3" x14ac:dyDescent="0.4">
      <c r="C76" s="4"/>
    </row>
    <row r="77" spans="3:3" x14ac:dyDescent="0.4">
      <c r="C77" s="4"/>
    </row>
    <row r="78" spans="3:3" x14ac:dyDescent="0.4">
      <c r="C78" s="4"/>
    </row>
    <row r="79" spans="3:3" x14ac:dyDescent="0.4">
      <c r="C79" s="4"/>
    </row>
    <row r="80" spans="3:3" x14ac:dyDescent="0.4">
      <c r="C80" s="4"/>
    </row>
    <row r="81" spans="3:3" x14ac:dyDescent="0.4">
      <c r="C81" s="4"/>
    </row>
    <row r="82" spans="3:3" x14ac:dyDescent="0.4">
      <c r="C82" s="4"/>
    </row>
    <row r="83" spans="3:3" x14ac:dyDescent="0.4">
      <c r="C83" s="4"/>
    </row>
    <row r="84" spans="3:3" x14ac:dyDescent="0.4">
      <c r="C84" s="4"/>
    </row>
    <row r="85" spans="3:3" x14ac:dyDescent="0.4">
      <c r="C85" s="4"/>
    </row>
    <row r="86" spans="3:3" x14ac:dyDescent="0.4">
      <c r="C86" s="4"/>
    </row>
    <row r="87" spans="3:3" x14ac:dyDescent="0.4">
      <c r="C87" s="4"/>
    </row>
    <row r="88" spans="3:3" x14ac:dyDescent="0.4">
      <c r="C88" s="4"/>
    </row>
    <row r="89" spans="3:3" x14ac:dyDescent="0.4">
      <c r="C89" s="4"/>
    </row>
    <row r="90" spans="3:3" x14ac:dyDescent="0.4">
      <c r="C90" s="4"/>
    </row>
    <row r="91" spans="3:3" x14ac:dyDescent="0.4">
      <c r="C91" s="4"/>
    </row>
    <row r="92" spans="3:3" x14ac:dyDescent="0.4">
      <c r="C92" s="4"/>
    </row>
    <row r="93" spans="3:3" x14ac:dyDescent="0.4">
      <c r="C93" s="4"/>
    </row>
    <row r="94" spans="3:3" x14ac:dyDescent="0.4">
      <c r="C94" s="4"/>
    </row>
    <row r="95" spans="3:3" x14ac:dyDescent="0.4">
      <c r="C95" s="4"/>
    </row>
    <row r="96" spans="3:3" x14ac:dyDescent="0.4">
      <c r="C96" s="4"/>
    </row>
    <row r="97" spans="3:3" x14ac:dyDescent="0.4">
      <c r="C97" s="4"/>
    </row>
    <row r="98" spans="3:3" x14ac:dyDescent="0.4">
      <c r="C98" s="4"/>
    </row>
    <row r="99" spans="3:3" x14ac:dyDescent="0.4">
      <c r="C99" s="4"/>
    </row>
    <row r="100" spans="3:3" x14ac:dyDescent="0.4">
      <c r="C100" s="4"/>
    </row>
    <row r="101" spans="3:3" x14ac:dyDescent="0.4">
      <c r="C101" s="4"/>
    </row>
    <row r="102" spans="3:3" x14ac:dyDescent="0.4">
      <c r="C102" s="4"/>
    </row>
    <row r="103" spans="3:3" x14ac:dyDescent="0.4">
      <c r="C103" s="4"/>
    </row>
    <row r="104" spans="3:3" x14ac:dyDescent="0.4">
      <c r="C104" s="4"/>
    </row>
    <row r="105" spans="3:3" x14ac:dyDescent="0.4">
      <c r="C105" s="4"/>
    </row>
    <row r="106" spans="3:3" x14ac:dyDescent="0.4">
      <c r="C106" s="4"/>
    </row>
    <row r="107" spans="3:3" x14ac:dyDescent="0.4">
      <c r="C107" s="4"/>
    </row>
    <row r="108" spans="3:3" x14ac:dyDescent="0.4">
      <c r="C108" s="4"/>
    </row>
    <row r="109" spans="3:3" x14ac:dyDescent="0.4">
      <c r="C109" s="4"/>
    </row>
    <row r="110" spans="3:3" x14ac:dyDescent="0.4">
      <c r="C110" s="4"/>
    </row>
    <row r="111" spans="3:3" x14ac:dyDescent="0.4">
      <c r="C111" s="4"/>
    </row>
    <row r="112" spans="3:3" x14ac:dyDescent="0.4">
      <c r="C112" s="4"/>
    </row>
    <row r="113" spans="3:3" x14ac:dyDescent="0.4">
      <c r="C113" s="4"/>
    </row>
    <row r="114" spans="3:3" x14ac:dyDescent="0.4">
      <c r="C114" s="4"/>
    </row>
    <row r="115" spans="3:3" x14ac:dyDescent="0.4">
      <c r="C115" s="4"/>
    </row>
    <row r="116" spans="3:3" x14ac:dyDescent="0.4">
      <c r="C116" s="4"/>
    </row>
    <row r="117" spans="3:3" x14ac:dyDescent="0.4">
      <c r="C117" s="4"/>
    </row>
    <row r="118" spans="3:3" x14ac:dyDescent="0.4">
      <c r="C118" s="4"/>
    </row>
    <row r="119" spans="3:3" x14ac:dyDescent="0.4">
      <c r="C119" s="4"/>
    </row>
    <row r="120" spans="3:3" x14ac:dyDescent="0.4">
      <c r="C120" s="4"/>
    </row>
    <row r="121" spans="3:3" x14ac:dyDescent="0.4">
      <c r="C121" s="4"/>
    </row>
    <row r="122" spans="3:3" x14ac:dyDescent="0.4">
      <c r="C122" s="4"/>
    </row>
    <row r="123" spans="3:3" x14ac:dyDescent="0.4">
      <c r="C123" s="4"/>
    </row>
    <row r="124" spans="3:3" x14ac:dyDescent="0.4">
      <c r="C124" s="4"/>
    </row>
    <row r="125" spans="3:3" x14ac:dyDescent="0.4">
      <c r="C125" s="4"/>
    </row>
    <row r="126" spans="3:3" x14ac:dyDescent="0.4">
      <c r="C126" s="4"/>
    </row>
    <row r="127" spans="3:3" x14ac:dyDescent="0.4">
      <c r="C127" s="4"/>
    </row>
    <row r="128" spans="3:3" x14ac:dyDescent="0.4">
      <c r="C128" s="4"/>
    </row>
    <row r="129" spans="3:3" x14ac:dyDescent="0.4">
      <c r="C129" s="4"/>
    </row>
    <row r="130" spans="3:3" x14ac:dyDescent="0.4">
      <c r="C130" s="4"/>
    </row>
    <row r="131" spans="3:3" x14ac:dyDescent="0.4">
      <c r="C131" s="4"/>
    </row>
    <row r="132" spans="3:3" x14ac:dyDescent="0.4">
      <c r="C132" s="4"/>
    </row>
    <row r="133" spans="3:3" x14ac:dyDescent="0.4">
      <c r="C133" s="4"/>
    </row>
    <row r="134" spans="3:3" x14ac:dyDescent="0.4">
      <c r="C134" s="4"/>
    </row>
    <row r="135" spans="3:3" x14ac:dyDescent="0.4">
      <c r="C135" s="4"/>
    </row>
    <row r="136" spans="3:3" x14ac:dyDescent="0.4">
      <c r="C136" s="4"/>
    </row>
    <row r="137" spans="3:3" x14ac:dyDescent="0.4">
      <c r="C137" s="4"/>
    </row>
    <row r="138" spans="3:3" x14ac:dyDescent="0.4">
      <c r="C138" s="4"/>
    </row>
    <row r="139" spans="3:3" x14ac:dyDescent="0.4">
      <c r="C139" s="4"/>
    </row>
    <row r="140" spans="3:3" x14ac:dyDescent="0.4">
      <c r="C140" s="4"/>
    </row>
    <row r="141" spans="3:3" x14ac:dyDescent="0.4">
      <c r="C141" s="4"/>
    </row>
    <row r="142" spans="3:3" x14ac:dyDescent="0.4">
      <c r="C142" s="4"/>
    </row>
    <row r="143" spans="3:3" x14ac:dyDescent="0.4">
      <c r="C143" s="4"/>
    </row>
    <row r="144" spans="3:3" x14ac:dyDescent="0.4">
      <c r="C144" s="4"/>
    </row>
    <row r="145" spans="3:3" x14ac:dyDescent="0.4">
      <c r="C145" s="4"/>
    </row>
    <row r="146" spans="3:3" x14ac:dyDescent="0.4">
      <c r="C146" s="4"/>
    </row>
    <row r="147" spans="3:3" x14ac:dyDescent="0.4">
      <c r="C147" s="4"/>
    </row>
    <row r="148" spans="3:3" x14ac:dyDescent="0.4">
      <c r="C148" s="4"/>
    </row>
    <row r="149" spans="3:3" x14ac:dyDescent="0.4">
      <c r="C149" s="4"/>
    </row>
    <row r="150" spans="3:3" x14ac:dyDescent="0.4">
      <c r="C150" s="4"/>
    </row>
    <row r="151" spans="3:3" x14ac:dyDescent="0.4">
      <c r="C151" s="4"/>
    </row>
    <row r="152" spans="3:3" x14ac:dyDescent="0.4">
      <c r="C152" s="4"/>
    </row>
    <row r="153" spans="3:3" x14ac:dyDescent="0.4">
      <c r="C153" s="4"/>
    </row>
    <row r="154" spans="3:3" x14ac:dyDescent="0.4">
      <c r="C154" s="4"/>
    </row>
    <row r="155" spans="3:3" x14ac:dyDescent="0.4">
      <c r="C155" s="4"/>
    </row>
    <row r="156" spans="3:3" x14ac:dyDescent="0.4">
      <c r="C156" s="4"/>
    </row>
    <row r="157" spans="3:3" x14ac:dyDescent="0.4">
      <c r="C157" s="4"/>
    </row>
    <row r="158" spans="3:3" x14ac:dyDescent="0.4">
      <c r="C158" s="4"/>
    </row>
    <row r="159" spans="3:3" x14ac:dyDescent="0.4">
      <c r="C159" s="4"/>
    </row>
    <row r="160" spans="3:3" x14ac:dyDescent="0.4">
      <c r="C160" s="4"/>
    </row>
    <row r="161" spans="3:3" x14ac:dyDescent="0.4">
      <c r="C161" s="4"/>
    </row>
    <row r="162" spans="3:3" x14ac:dyDescent="0.4">
      <c r="C162" s="4"/>
    </row>
    <row r="163" spans="3:3" x14ac:dyDescent="0.4">
      <c r="C163" s="4"/>
    </row>
    <row r="164" spans="3:3" x14ac:dyDescent="0.4">
      <c r="C164" s="4"/>
    </row>
    <row r="165" spans="3:3" x14ac:dyDescent="0.4">
      <c r="C165" s="4"/>
    </row>
    <row r="166" spans="3:3" x14ac:dyDescent="0.4">
      <c r="C166" s="4"/>
    </row>
    <row r="167" spans="3:3" x14ac:dyDescent="0.4">
      <c r="C167" s="4"/>
    </row>
    <row r="168" spans="3:3" x14ac:dyDescent="0.4">
      <c r="C168" s="4"/>
    </row>
    <row r="169" spans="3:3" x14ac:dyDescent="0.4">
      <c r="C16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程志凌</dc:creator>
  <cp:lastModifiedBy>志凌 程</cp:lastModifiedBy>
  <dcterms:created xsi:type="dcterms:W3CDTF">2015-06-05T18:19:34Z</dcterms:created>
  <dcterms:modified xsi:type="dcterms:W3CDTF">2025-05-06T08:20:52Z</dcterms:modified>
</cp:coreProperties>
</file>